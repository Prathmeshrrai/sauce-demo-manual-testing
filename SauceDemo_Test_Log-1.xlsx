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<sst xmlns="http://schemas.openxmlformats.org/spreadsheetml/2006/main" count="556" uniqueCount="347">
  <si>
    <t xml:space="preserve">Test Case ID</t>
  </si>
  <si>
    <t xml:space="preserve">Module</t>
  </si>
  <si>
    <t xml:space="preserve">Test Scenario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</si>
  <si>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</si>
  <si>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</si>
  <si>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</si>
  <si>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</si>
  <si>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</si>
  <si>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</si>
  <si>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</si>
  <si>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Bug ID</t>
  </si>
  <si>
    <t xml:space="preserve">Date Tested</t>
  </si>
  <si>
    <t xml:space="preserve">TC_001</t>
  </si>
  <si>
    <t xml:space="preserve">Login</t>
  </si>
  <si>
    <t xml:space="preserve">Login succeeds with valid credentials</t>
  </si>
  <si>
    <t xml:space="preserve">User is on the login page (saucedemo.com)</t>
  </si>
  <si>
    <t xml:space="preserve">1. Enter username
2. Enter password
3. Click Login</t>
  </si>
  <si>
    <t xml:space="preserve">standard_user / secret_sauce</t>
  </si>
  <si>
    <t xml:space="preserve">Products page (/inventory.html) opens and shows 6 products</t>
  </si>
  <si>
    <t xml:space="preserve">Products page opened as expected</t>
  </si>
  <si>
    <t xml:space="preserve">Pass</t>
  </si>
  <si>
    <t xml:space="preserve">High</t>
  </si>
  <si>
    <t xml:space="preserve">TC_002</t>
  </si>
  <si>
    <t xml:space="preserve">Login fails with a wrong password</t>
  </si>
  <si>
    <t xml:space="preserve">User is on the login page</t>
  </si>
  <si>
    <t xml:space="preserve">1. Enter valid username
2. Enter wrong password
3. Click Login</t>
  </si>
  <si>
    <t xml:space="preserve">standard_user / wrongpass</t>
  </si>
  <si>
    <t xml:space="preserve">Error shown: "Epic sadface: Username and password do not match any user in this service"; user stays on login page</t>
  </si>
  <si>
    <t xml:space="preserve">Error shown: "Epic sadface: Username and password do not match any user in this service"</t>
  </si>
  <si>
    <t xml:space="preserve">TC_003</t>
  </si>
  <si>
    <t xml:space="preserve">Login fails with both fields blank</t>
  </si>
  <si>
    <t xml:space="preserve">1. Leave username and password blank
2. Click Login</t>
  </si>
  <si>
    <t xml:space="preserve">None</t>
  </si>
  <si>
    <t xml:space="preserve">Error shown: "Epic sadface: Username is required"; user stays on login page</t>
  </si>
  <si>
    <t xml:space="preserve">Error shown: "Epic sadface: Username is required"</t>
  </si>
  <si>
    <t xml:space="preserve">Medium</t>
  </si>
  <si>
    <t xml:space="preserve">TC_004</t>
  </si>
  <si>
    <t xml:space="preserve">Locked-out user cannot log in</t>
  </si>
  <si>
    <t xml:space="preserve">1. Enter locked_out_user
2. Enter password
3. Click Login</t>
  </si>
  <si>
    <t xml:space="preserve">locked_out_user / secret_sauce</t>
  </si>
  <si>
    <t xml:space="preserve">Error shown: "Epic sadface: Sorry, this user has been locked out."; user stays on login page</t>
  </si>
  <si>
    <t xml:space="preserve">Error shown: "Epic sadface: Sorry, this user has been locked out."</t>
  </si>
  <si>
    <t xml:space="preserve">TC_005</t>
  </si>
  <si>
    <t xml:space="preserve">Cart</t>
  </si>
  <si>
    <t xml:space="preserve">Add one item to the cart</t>
  </si>
  <si>
    <t xml:space="preserve">Logged in as standard_user, on Products page</t>
  </si>
  <si>
    <t xml:space="preserve">1. Click "Add to cart" under Sauce Labs Backpack</t>
  </si>
  <si>
    <t xml:space="preserve">Item: Sauce Labs Backpack</t>
  </si>
  <si>
    <t xml:space="preserve">Cart badge shows 1 and the button changes to "Remove"</t>
  </si>
  <si>
    <t xml:space="preserve">Cart badge shows 1</t>
  </si>
  <si>
    <t xml:space="preserve">TC_006</t>
  </si>
  <si>
    <t xml:space="preserve">Remove an item from the cart page</t>
  </si>
  <si>
    <t xml:space="preserve">Sauce Labs Backpack is the only item in the cart</t>
  </si>
  <si>
    <t xml:space="preserve">1. Click the cart icon
2. Click "Remove" next to Sauce Labs Backpack</t>
  </si>
  <si>
    <t xml:space="preserve">Backpack disappears from the cart list and the cart badge disappears (cart is empty)</t>
  </si>
  <si>
    <t xml:space="preserve">Item disappears, badge count decreases</t>
  </si>
  <si>
    <t xml:space="preserve">TC_007</t>
  </si>
  <si>
    <t xml:space="preserve">Add multiple items to the cart</t>
  </si>
  <si>
    <t xml:space="preserve">Logged in, on Products page, cart is empty</t>
  </si>
  <si>
    <t xml:space="preserve">1. Add Sauce Labs Backpack
2. Add Sauce Labs Bike Light
3. Add Sauce Labs Bolt T-Shirt
4. Click the cart icon</t>
  </si>
  <si>
    <t xml:space="preserve">Backpack, Bike Light, Bolt T-Shirt</t>
  </si>
  <si>
    <t xml:space="preserve">Badge shows 3 and all 3 items are listed in the cart</t>
  </si>
  <si>
    <t xml:space="preserve">Badge shows 3, all 3 items listed in cart</t>
  </si>
  <si>
    <t xml:space="preserve">TC_008</t>
  </si>
  <si>
    <t xml:space="preserve">Checkout</t>
  </si>
  <si>
    <t xml:space="preserve">Checkout information accepted with valid details</t>
  </si>
  <si>
    <t xml:space="preserve">Sauce Labs Backpack in cart, on cart page</t>
  </si>
  <si>
    <t xml:space="preserve">1. Click Checkout
2. Enter first name, last name and postal code
3. Click Continue</t>
  </si>
  <si>
    <t xml:space="preserve">John / Doe / 12345</t>
  </si>
  <si>
    <t xml:space="preserve">Overview page opens showing the item, payment info, shipping info, item total, tax and total</t>
  </si>
  <si>
    <t xml:space="preserve">Moves to overview page with order summary</t>
  </si>
  <si>
    <t xml:space="preserve">TC_009</t>
  </si>
  <si>
    <t xml:space="preserve">Checkout fails with all fields blank</t>
  </si>
  <si>
    <t xml:space="preserve">On checkout information page</t>
  </si>
  <si>
    <t xml:space="preserve">1. Leave all three fields blank
2. Click Continue</t>
  </si>
  <si>
    <t xml:space="preserve">Error shown: "Error: First Name is required"; user stays on the information page</t>
  </si>
  <si>
    <t xml:space="preserve">Error: First Name is required</t>
  </si>
  <si>
    <t xml:space="preserve">TC_010</t>
  </si>
  <si>
    <t xml:space="preserve">Complete an order</t>
  </si>
  <si>
    <t xml:space="preserve">On checkout overview page</t>
  </si>
  <si>
    <t xml:space="preserve">1. Review the order
2. Click Finish</t>
  </si>
  <si>
    <t xml:space="preserve">Checkout Complete page opens with the heading "Thank you for your order!"</t>
  </si>
  <si>
    <t xml:space="preserve">Thank you for your order! Your order has been dispatched, and will arrive just as fast as the pony can get there!</t>
  </si>
  <si>
    <t xml:space="preserve">TC_011</t>
  </si>
  <si>
    <t xml:space="preserve">Logout</t>
  </si>
  <si>
    <t xml:space="preserve">Logout from the menu</t>
  </si>
  <si>
    <t xml:space="preserve">Logged in as standard_user</t>
  </si>
  <si>
    <t xml:space="preserve">1. Click the hamburger menu
2. Click Logout</t>
  </si>
  <si>
    <t xml:space="preserve">Login page is shown with empty username and password fields</t>
  </si>
  <si>
    <t xml:space="preserve">Redirected to login page</t>
  </si>
  <si>
    <t xml:space="preserve">TC_012</t>
  </si>
  <si>
    <t xml:space="preserve">Back button after logout does not show the Products page</t>
  </si>
  <si>
    <t xml:space="preserve">1. Click the hamburger menu and click Logout
2. Click the browser Back button</t>
  </si>
  <si>
    <t xml:space="preserve">Products page is NOT shown; user stays on (or returns to) the login page</t>
  </si>
  <si>
    <t xml:space="preserve">After logout and pressing the browser Back button: login page shown with error "Epic sadface: You can only access '/checkout-step-two.html' when you are logged in." Products page was not shown. Banner text clipped (see BUG_001)</t>
  </si>
  <si>
    <t xml:space="preserve">TC_013</t>
  </si>
  <si>
    <t xml:space="preserve">Login fails with a wrong username</t>
  </si>
  <si>
    <t xml:space="preserve">1. Enter wrong username
2. Enter valid password
3. Click Login</t>
  </si>
  <si>
    <t xml:space="preserve">wronguser / secret_sauce</t>
  </si>
  <si>
    <t xml:space="preserve">Error: "Epic sadface: Username and password do not match any user in this service"</t>
  </si>
  <si>
    <t xml:space="preserve">Error shown: "Epic sadface: Username and password do not match any user in this service". Banner text is clipped on the mobile screen (see BUG_001)</t>
  </si>
  <si>
    <t xml:space="preserve">TC_014</t>
  </si>
  <si>
    <t xml:space="preserve">Login fails with username filled and password blank</t>
  </si>
  <si>
    <t xml:space="preserve">1. Enter username
2. Leave password blank
3. Click Login</t>
  </si>
  <si>
    <t xml:space="preserve">standard_user / (blank)</t>
  </si>
  <si>
    <t xml:space="preserve">Error: "Epic sadface: Password is required"</t>
  </si>
  <si>
    <t xml:space="preserve">Error shown: "Epic sadface: Password is required"</t>
  </si>
  <si>
    <t xml:space="preserve">TC_015</t>
  </si>
  <si>
    <t xml:space="preserve">Login fails with username blank and password filled</t>
  </si>
  <si>
    <t xml:space="preserve">1. Leave username blank
2. Enter password
3. Click Login</t>
  </si>
  <si>
    <t xml:space="preserve">(blank) / secret_sauce</t>
  </si>
  <si>
    <t xml:space="preserve">Error: "Epic sadface: Username is required"</t>
  </si>
  <si>
    <t xml:space="preserve">TC_016</t>
  </si>
  <si>
    <t xml:space="preserve">Login rejected when both fields contain only spaces</t>
  </si>
  <si>
    <t xml:space="preserve">1. Type 3 spaces in username
2. Type 3 spaces in password
3. Click Login</t>
  </si>
  <si>
    <t xml:space="preserve">spaces only</t>
  </si>
  <si>
    <t xml:space="preserve">Login is rejected with an error message; user stays on login page</t>
  </si>
  <si>
    <t xml:space="preserve">Error shown: "Epic sadface: Username and password do not match any user in this service"; user stays on login page. Banner text clipped (see BUG_001)</t>
  </si>
  <si>
    <t xml:space="preserve">Low</t>
  </si>
  <si>
    <t xml:space="preserve">TC_017</t>
  </si>
  <si>
    <t xml:space="preserve">Username is case-sensitive</t>
  </si>
  <si>
    <t xml:space="preserve">1. Enter STANDARD_USER (capitals)
2. Enter valid password
3. Click Login</t>
  </si>
  <si>
    <t xml:space="preserve">STANDARD_USER / secret_sauce</t>
  </si>
  <si>
    <t xml:space="preserve">Login is rejected with the "do not match any user" error</t>
  </si>
  <si>
    <t xml:space="preserve">Error shown: "Epic sadface: Username and password do not match any user in this service"; username is case-sensitive. Banner text clipped (see BUG_001)</t>
  </si>
  <si>
    <t xml:space="preserve">TC_018</t>
  </si>
  <si>
    <t xml:space="preserve">Enter key submits the login form</t>
  </si>
  <si>
    <t xml:space="preserve">1. Enter valid username and password
2. Press the Enter key (do not click Login)</t>
  </si>
  <si>
    <t xml:space="preserve">Products page opens</t>
  </si>
  <si>
    <t xml:space="preserve">Pressed Enter without tapping Login; Products page opened</t>
  </si>
  <si>
    <t xml:space="preserve">TC_019</t>
  </si>
  <si>
    <t xml:space="preserve">Password field is masked</t>
  </si>
  <si>
    <t xml:space="preserve">1. Type a password in the password field</t>
  </si>
  <si>
    <t xml:space="preserve">secret_sauce</t>
  </si>
  <si>
    <t xml:space="preserve">Characters appear as dots, not as readable text</t>
  </si>
  <si>
    <t xml:space="preserve">Password characters shown as dots, not readable text</t>
  </si>
  <si>
    <t xml:space="preserve">TC_020</t>
  </si>
  <si>
    <t xml:space="preserve">Inventory</t>
  </si>
  <si>
    <t xml:space="preserve">Six products are listed</t>
  </si>
  <si>
    <t xml:space="preserve">1. Open the Products page
2. Count the products</t>
  </si>
  <si>
    <t xml:space="preserve">Exactly 6 products are shown, each with name, description, price and Add to cart button</t>
  </si>
  <si>
    <t xml:space="preserve">6 products shown, each with image, name, description, price and an Add to cart button</t>
  </si>
  <si>
    <t xml:space="preserve">TC_021</t>
  </si>
  <si>
    <t xml:space="preserve">Sort by Name (A to Z)</t>
  </si>
  <si>
    <t xml:space="preserve">1. Open the sort dropdown
2. Select "Name (A to Z)"</t>
  </si>
  <si>
    <t xml:space="preserve">First product is Sauce Labs Backpack; last is Test.allTheThings() T-Shirt (Red)</t>
  </si>
  <si>
    <t xml:space="preserve">Order: Backpack, Bike Light, Bolt T-Shirt, Fleece Jacket, Onesie, Test.allTheThings() T-Shirt (Red). First = Backpack, last = Test.allTheThings() T-Shirt (Red)</t>
  </si>
  <si>
    <t xml:space="preserve">TC_022</t>
  </si>
  <si>
    <t xml:space="preserve">Sort by Name (Z to A)</t>
  </si>
  <si>
    <t xml:space="preserve">1. Open the sort dropdown
2. Select "Name (Z to A)"</t>
  </si>
  <si>
    <t xml:space="preserve">First product is Test.allTheThings() T-Shirt (Red); last is Sauce Labs Backpack</t>
  </si>
  <si>
    <t xml:space="preserve">Order: Test.allTheThings() T-Shirt (Red), Onesie, Fleece Jacket, Bolt T-Shirt, Bike Light, Backpack. First = Test.allTheThings() T-Shirt (Red), last = Backpack</t>
  </si>
  <si>
    <t xml:space="preserve">TC_023</t>
  </si>
  <si>
    <t xml:space="preserve">Sort by Price (low to high)</t>
  </si>
  <si>
    <t xml:space="preserve">1. Open the sort dropdown
2. Select "Price (low to high)"</t>
  </si>
  <si>
    <t xml:space="preserve">First product is Sauce Labs Onesie ($7.99); last is Sauce Labs Fleece Jacket ($49.99)</t>
  </si>
  <si>
    <t xml:space="preserve">Order: Onesie $7.99, Bike Light $9.99, Bolt T-Shirt $15.99, Test.allTheThings() T-Shirt $15.99, Backpack $29.99, Fleece Jacket $49.99. Two items priced $15.99 (Bolt T-Shirt, Test.allTheThings() T-Shirt Red) keep the same relative order.</t>
  </si>
  <si>
    <t xml:space="preserve">TC_024</t>
  </si>
  <si>
    <t xml:space="preserve">Sort by Price (high to low)</t>
  </si>
  <si>
    <t xml:space="preserve">1. Open the sort dropdown
2. Select "Price (high to low)"</t>
  </si>
  <si>
    <t xml:space="preserve">First product is Sauce Labs Fleece Jacket ($49.99); last is Sauce Labs Onesie ($7.99)</t>
  </si>
  <si>
    <t xml:space="preserve">Order: Fleece Jacket $49.99, Backpack $29.99, Bolt T-Shirt $15.99, Test.allTheThings() T-Shirt $15.99, Bike Light $9.99, Onesie $7.99. Two items priced $15.99 (Bolt T-Shirt, Test.allTheThings() T-Shirt Red) keep the same relative order.</t>
  </si>
  <si>
    <t xml:space="preserve">TC_025</t>
  </si>
  <si>
    <t xml:space="preserve">Product detail page opens</t>
  </si>
  <si>
    <t xml:space="preserve">1. Click the name "Sauce Labs Backpack"</t>
  </si>
  <si>
    <t xml:space="preserve">Detail page opens with the correct name, description, image and price $29.99</t>
  </si>
  <si>
    <t xml:space="preserve">Detail page opened with name Sauce Labs Backpack, description, image, price $29.99 and an Add to cart button</t>
  </si>
  <si>
    <t xml:space="preserve">TC_026</t>
  </si>
  <si>
    <t xml:space="preserve">Cart price matches the inventory price</t>
  </si>
  <si>
    <t xml:space="preserve">Logged in, on Products page</t>
  </si>
  <si>
    <t xml:space="preserve">1. Note the Backpack price
2. Add Backpack to cart
3. Open the cart</t>
  </si>
  <si>
    <t xml:space="preserve">Cart shows Backpack at $29.99, quantity 1</t>
  </si>
  <si>
    <t xml:space="preserve">Cart shows Sauce Labs Backpack, price $29.99, quantity 1, cart badge 1</t>
  </si>
  <si>
    <t xml:space="preserve">TC_027</t>
  </si>
  <si>
    <t xml:space="preserve">Cart keeps items after page refresh</t>
  </si>
  <si>
    <t xml:space="preserve">Backpack is in the cart</t>
  </si>
  <si>
    <t xml:space="preserve">1. Open the cart page
2. Refresh the browser (F5 / pull down)</t>
  </si>
  <si>
    <t xml:space="preserve">Backpack is still listed in the cart and the badge still shows 1</t>
  </si>
  <si>
    <t xml:space="preserve">After refreshing the cart page, Sauce Labs Backpack is still listed ($29.99, quantity 1) and the badge still shows 1</t>
  </si>
  <si>
    <t xml:space="preserve">TC_028</t>
  </si>
  <si>
    <t xml:space="preserve">Continue Shopping returns to Products</t>
  </si>
  <si>
    <t xml:space="preserve">User is on the cart page</t>
  </si>
  <si>
    <t xml:space="preserve">1. Click "Continue Shopping"</t>
  </si>
  <si>
    <t xml:space="preserve">Products page opened; Backpack still shows Remove and the cart badge still shows 1</t>
  </si>
  <si>
    <t xml:space="preserve">TC_029</t>
  </si>
  <si>
    <t xml:space="preserve">Remove an item from the Products page</t>
  </si>
  <si>
    <t xml:space="preserve">Backpack added to cart</t>
  </si>
  <si>
    <t xml:space="preserve">1. On the Products page click "Remove" under Backpack</t>
  </si>
  <si>
    <t xml:space="preserve">Button changes back to "Add to cart" and the cart badge disappears</t>
  </si>
  <si>
    <t xml:space="preserve">After Add to cart: badge showed 1 and button changed to Remove. After Remove: button changed back to Add to cart and the badge disappeared</t>
  </si>
  <si>
    <t xml:space="preserve">TC_030</t>
  </si>
  <si>
    <t xml:space="preserve">Checkout fails with last name blank</t>
  </si>
  <si>
    <t xml:space="preserve">Backpack in cart, on checkout information page</t>
  </si>
  <si>
    <t xml:space="preserve">1. Enter first name
2. Leave last name blank
3. Enter postal code
4. Click Continue</t>
  </si>
  <si>
    <t xml:space="preserve">John / (blank) / 12345</t>
  </si>
  <si>
    <t xml:space="preserve">Error: "Error: Last Name is required"</t>
  </si>
  <si>
    <t xml:space="preserve">"Error: Last Name is required" shown; user stays on the information page; first name and postal code stay filled</t>
  </si>
  <si>
    <t xml:space="preserve">TC_031</t>
  </si>
  <si>
    <t xml:space="preserve">Checkout fails with postal code blank</t>
  </si>
  <si>
    <t xml:space="preserve">1. Enter first and last name
2. Leave postal code blank
3. Click Continue</t>
  </si>
  <si>
    <t xml:space="preserve">John / Doe / (blank)</t>
  </si>
  <si>
    <t xml:space="preserve">Error: "Error: Postal Code is required"</t>
  </si>
  <si>
    <t xml:space="preserve">"Error: Postal Code is required" shown; user stays on the information page; first and last name stay filled</t>
  </si>
  <si>
    <t xml:space="preserve">TC_032</t>
  </si>
  <si>
    <t xml:space="preserve">Special characters in name fields</t>
  </si>
  <si>
    <t xml:space="preserve">1. Enter @#$% in first name and last name
2. Enter postal code 12345
3. Click Continue</t>
  </si>
  <si>
    <t xml:space="preserve">@#$% / @#$% / 12345</t>
  </si>
  <si>
    <t xml:space="preserve">Application does not crash. Note whether it accepts or rejects the input and report if the behaviour looks wrong</t>
  </si>
  <si>
    <t xml:space="preserve">App accepted @#$% in both name fields with postal code 12345; no crash; overview page opened (Item total $29.99, Tax $2.40, Total $32.39). No validation is applied to special characters in names</t>
  </si>
  <si>
    <t xml:space="preserve">TC_033</t>
  </si>
  <si>
    <t xml:space="preserve">Cancel on information page returns to cart</t>
  </si>
  <si>
    <t xml:space="preserve">1. Click Cancel</t>
  </si>
  <si>
    <t xml:space="preserve">Cart page opens and the Backpack is still in the cart</t>
  </si>
  <si>
    <t xml:space="preserve">Cancel opened the cart page; Sauce Labs Backpack (9.99, qty 1) is still in the cart and the badge shows 1</t>
  </si>
  <si>
    <t xml:space="preserve">TC_034</t>
  </si>
  <si>
    <t xml:space="preserve">Overview total equals item price plus tax</t>
  </si>
  <si>
    <t xml:space="preserve">Backpack in cart, valid details entered, on overview page</t>
  </si>
  <si>
    <t xml:space="preserve">1. Read Item total, Tax and Total</t>
  </si>
  <si>
    <t xml:space="preserve">Backpack $29.99</t>
  </si>
  <si>
    <t xml:space="preserve">Item total $29.99, Tax $2.40, Total $32.39</t>
  </si>
  <si>
    <t xml:space="preserve">Overview shows Item total: $29.99, Tax: $2.40, Total: $32.39 (29.99 + 2.40 = 32.39). Also shows SauceCard #31337 and Free Pony Express Delivery</t>
  </si>
  <si>
    <t xml:space="preserve">TC_035</t>
  </si>
  <si>
    <t xml:space="preserve">Cancel on overview page returns to Products</t>
  </si>
  <si>
    <t xml:space="preserve">Products page opened; Backpack still in the cart (badge 1)</t>
  </si>
  <si>
    <t xml:space="preserve">TC_036</t>
  </si>
  <si>
    <t xml:space="preserve">Session</t>
  </si>
  <si>
    <t xml:space="preserve">Direct URL without login is blocked</t>
  </si>
  <si>
    <t xml:space="preserve">User is logged out (new browser tab)</t>
  </si>
  <si>
    <t xml:space="preserve">1. Open saucedemo.com/inventory.html directly without logging in</t>
  </si>
  <si>
    <t xml:space="preserve">Login page shown with error: "Epic sadface: You can only access '/inventory.html' when you are logged in."</t>
  </si>
  <si>
    <t xml:space="preserve">Redirected to the login page with error "Epic sadface: You can only access '/inventory.html' when you are logged in." Products page was not shown. Banner text clipped (see BUG_001)</t>
  </si>
  <si>
    <t xml:space="preserve">TC_037</t>
  </si>
  <si>
    <t xml:space="preserve">Buggy user</t>
  </si>
  <si>
    <t xml:space="preserve">problem_user: each product shows its own image</t>
  </si>
  <si>
    <t xml:space="preserve">1. Login as problem_user
2. Look at the product images</t>
  </si>
  <si>
    <t xml:space="preserve">problem_user / secret_sauce</t>
  </si>
  <si>
    <t xml:space="preserve">Each product shows its own correct image</t>
  </si>
  <si>
    <t xml:space="preserve">Logged in as problem_user. All 6 products show the same picture (a dog with a tennis ball) instead of their own product images</t>
  </si>
  <si>
    <t xml:space="preserve">Fail</t>
  </si>
  <si>
    <t xml:space="preserve">BUG_002</t>
  </si>
  <si>
    <t xml:space="preserve">TC_038</t>
  </si>
  <si>
    <t xml:space="preserve">problem_user: sorting works</t>
  </si>
  <si>
    <t xml:space="preserve">1. Login as problem_user
2. Sort by Name (Z to A)
3. Check order</t>
  </si>
  <si>
    <t xml:space="preserve">Products are re-ordered Z to A</t>
  </si>
  <si>
    <t xml:space="preserve">Logged in as problem_user. Selected a different sort option: nothing changed on screen, the product order stayed the same (still Name A to Z)</t>
  </si>
  <si>
    <t xml:space="preserve">BUG_006</t>
  </si>
  <si>
    <t xml:space="preserve">TC_039</t>
  </si>
  <si>
    <t xml:space="preserve">problem_user: add to cart and remove work for all items</t>
  </si>
  <si>
    <t xml:space="preserve">1. Login as problem_user
2. Click Add to cart on each of the 6 products
3. Click Remove on each</t>
  </si>
  <si>
    <t xml:space="preserve">Every item is added (badge reaches 6) and every item can be removed</t>
  </si>
  <si>
    <t xml:space="preserve">Logged in as problem_user. Tapped Add to cart on all 6 products: only 3 changed to Remove (Backpack, Bike Light, Onesie) and the cart badge showed 3. Tapping Remove did not work</t>
  </si>
  <si>
    <t xml:space="preserve">BUG_004</t>
  </si>
  <si>
    <t xml:space="preserve">TC_040</t>
  </si>
  <si>
    <t xml:space="preserve">problem_user: checkout with valid details reaches overview</t>
  </si>
  <si>
    <t xml:space="preserve">1. Login as problem_user
2. Add Backpack and go to Checkout
3. Enter John / Doe / 12345
4. Click Continue</t>
  </si>
  <si>
    <t xml:space="preserve">Fields keep the values typed and the overview page opens</t>
  </si>
  <si>
    <t xml:space="preserve">Logged in as problem_user. Last Name field cannot be typed into and stays empty. After tapping Continue: "Error: Last Name is required"; user cannot proceed to the overview page</t>
  </si>
  <si>
    <t xml:space="preserve">BUG_003</t>
  </si>
  <si>
    <t xml:space="preserve">TC_041</t>
  </si>
  <si>
    <t xml:space="preserve">error_user: complete an order</t>
  </si>
  <si>
    <t xml:space="preserve">1. Login as error_user
2. Add Backpack, go to Checkout
3. Enter valid details, Continue, Finish</t>
  </si>
  <si>
    <t xml:space="preserve">error_user / secret_sauce</t>
  </si>
  <si>
    <t xml:space="preserve">Order completes and the Thank you page appears</t>
  </si>
  <si>
    <t xml:space="preserve">Logged in as error_user. Last Name field could not be typed into, yet Continue still opened Checkout: Overview ($29.99, tax $2.40, total $32.39) with no error. Tapping Finish then did nothing and the order was not completed</t>
  </si>
  <si>
    <t xml:space="preserve">BUG_005, BUG_007</t>
  </si>
  <si>
    <t xml:space="preserve">TC_042</t>
  </si>
  <si>
    <t xml:space="preserve">performance_glitch_user: login speed</t>
  </si>
  <si>
    <t xml:space="preserve">1. Login as performance_glitch_user
2. Note how long the Products page takes to appear</t>
  </si>
  <si>
    <t xml:space="preserve">performance_glitch_user / secret_sauce</t>
  </si>
  <si>
    <t xml:space="preserve">Products page appears within about 3 seconds</t>
  </si>
  <si>
    <t xml:space="preserve">performance_glitch_user logged in successfully; login took about 2-3 seconds, then Products page opened</t>
  </si>
  <si>
    <t xml:space="preserve">TC_043</t>
  </si>
  <si>
    <t xml:space="preserve">Long error message is fully visible on a mobile screen</t>
  </si>
  <si>
    <t xml:space="preserve">User is on the login page on a phone (Chrome mobile)</t>
  </si>
  <si>
    <t xml:space="preserve">1. Enter username alakazam
2. Enter password secret_sauce
3. Tap Login</t>
  </si>
  <si>
    <t xml:space="preserve">alakazam / secret_sauce</t>
  </si>
  <si>
    <t xml:space="preserve">The full error message is readable inside the red banner (no clipped lines)</t>
  </si>
  <si>
    <t xml:space="preserve">Banner fits only two lines; the first and last lines of "Epic sadface: Username and password do not match any user in this service" are cut off</t>
  </si>
  <si>
    <t xml:space="preserve">BUG_001</t>
  </si>
  <si>
    <t xml:space="preserve">Related Test Case ID</t>
  </si>
  <si>
    <t xml:space="preserve">Title / Summary</t>
  </si>
  <si>
    <t xml:space="preserve">Environment</t>
  </si>
  <si>
    <t xml:space="preserve">Steps to Reproduce</t>
  </si>
  <si>
    <t xml:space="preserve">Severity</t>
  </si>
  <si>
    <t xml:space="preserve">Evidence (screenshot link)</t>
  </si>
  <si>
    <t xml:space="preserve">Date Found</t>
  </si>
  <si>
    <t xml:space="preserve">TC_043 (also seen in TC_013, TC_016, TC_017, TC_012)</t>
  </si>
  <si>
    <t xml:space="preserve">Long login error message is clipped inside the red banner on mobile</t>
  </si>
  <si>
    <t xml:space="preserve">Chrome on Android phone, saucedemo.com (phone layout and wider desktop-site layout)</t>
  </si>
  <si>
    <t xml:space="preserve">1. Open saucedemo.com
2. Enter username alakazam and password secret_sauce
3. Tap Login</t>
  </si>
  <si>
    <t xml:space="preserve">Full error message is visible inside the banner</t>
  </si>
  <si>
    <t xml:space="preserve">Banner fits only two lines; the top and bottom lines of the three-line message are cut off. Short messages (Username is required, Password is required) fit fine. Also seen with the long message "You can only access '/checkout-step-two.html' when you are logged in" (TC_012) in the wider layout, so it is not limited to the phone layout</t>
  </si>
  <si>
    <t xml:space="preserve">Open</t>
  </si>
  <si>
    <t xml:space="preserve">evidence/BUG_001_login_error_clipped.jpg</t>
  </si>
  <si>
    <t xml:space="preserve">All products show the same image for problem_user</t>
  </si>
  <si>
    <t xml:space="preserve">Chrome on Android phone, saucedemo.com, user problem_user</t>
  </si>
  <si>
    <t xml:space="preserve">1. Open saucedemo.com
2. Login with problem_user / secret_sauce
3. Look at the Products page</t>
  </si>
  <si>
    <t xml:space="preserve">Each product shows its own picture</t>
  </si>
  <si>
    <t xml:space="preserve">All 6 products show the same picture (a dog holding a tennis ball)</t>
  </si>
  <si>
    <t xml:space="preserve">evidence/BUG_002_problem_user_same_images.jpg</t>
  </si>
  <si>
    <t xml:space="preserve">Last Name cannot be entered on checkout information page for problem_user</t>
  </si>
  <si>
    <t xml:space="preserve">1. Login with problem_user / secret_sauce
2. Add any item and open the cart, tap Checkout
3. Type First Name John, try to type Last Name Doe, enter Postal Code 12345
4. Tap Continue</t>
  </si>
  <si>
    <t xml:space="preserve">All three fields accept and keep the typed values; user moves to the overview page</t>
  </si>
  <si>
    <t xml:space="preserve">Last Name field cannot be typed into and stays empty; Continue shows "Error: Last Name is required" and checkout is blocked</t>
  </si>
  <si>
    <t xml:space="preserve">evidence/BUG_003_problem_user_last_name.jpg</t>
  </si>
  <si>
    <t xml:space="preserve">Add to cart and Remove do not work on all products for problem_user</t>
  </si>
  <si>
    <t xml:space="preserve">1. Login with problem_user / secret_sauce
2. Tap Add to cart on all 6 products
3. Tap Remove on the products</t>
  </si>
  <si>
    <t xml:space="preserve">All 6 buttons change to Remove and the badge shows 6; Remove then changes them back and clears the badge</t>
  </si>
  <si>
    <t xml:space="preserve">Only 3 products (Backpack, Bike Light, Onesie) changed to Remove and the badge showed 3. Tapping Remove did not work</t>
  </si>
  <si>
    <t xml:space="preserve">evidence/BUG_004_problem_user_cart_badge_3.jpg</t>
  </si>
  <si>
    <t xml:space="preserve">BUG_005</t>
  </si>
  <si>
    <t xml:space="preserve">Finish button does not complete the order for error_user</t>
  </si>
  <si>
    <t xml:space="preserve">Chrome on Android phone, saucedemo.com, user error_user</t>
  </si>
  <si>
    <t xml:space="preserve">1. Login with error_user / secret_sauce
2. Add Sauce Labs Backpack, open cart, tap Checkout
3. Fill in the information and tap Continue
4. On the overview page tap Finish</t>
  </si>
  <si>
    <t xml:space="preserve">Order completes and the Thank you for your order page opens</t>
  </si>
  <si>
    <t xml:space="preserve">Tapping Finish does nothing; the order is not completed</t>
  </si>
  <si>
    <t xml:space="preserve">Critical</t>
  </si>
  <si>
    <t xml:space="preserve">evidence/BUG_005_007_error_user_overview_finish.jpg</t>
  </si>
  <si>
    <t xml:space="preserve">Sorting does nothing for problem_user</t>
  </si>
  <si>
    <t xml:space="preserve">1. Login with problem_user / secret_sauce
2. Tap the sort dropdown and choose Name (Z to A) or a Price option</t>
  </si>
  <si>
    <t xml:space="preserve">Products reorder according to the chosen option</t>
  </si>
  <si>
    <t xml:space="preserve">Nothing changes on screen; the order stays the same</t>
  </si>
  <si>
    <t xml:space="preserve">No screenshot: the screen did not change after choosing a sort option</t>
  </si>
  <si>
    <t xml:space="preserve">BUG_007</t>
  </si>
  <si>
    <t xml:space="preserve">Checkout continues without a Last Name for error_user</t>
  </si>
  <si>
    <t xml:space="preserve">1. Login with error_user / secret_sauce
2. Add an item, open cart, tap Checkout
3. Enter First Name and Postal Code, try to type Last Name
4. Tap Continue</t>
  </si>
  <si>
    <t xml:space="preserve">Last Name accepts typing; if left empty, the error "Last Name is required" appears</t>
  </si>
  <si>
    <t xml:space="preserve">Last Name cannot be typed into, and Continue still opens the overview page with no error</t>
  </si>
  <si>
    <t xml:space="preserve">Test Summary - SauceDemo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</si>
  <si>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</si>
  <si>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</si>
  <si>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</si>
  <si>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</si>
  <si>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</si>
  <si>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Executed (Pass + Fail)</t>
  </si>
  <si>
    <t xml:space="preserve">Not yet run / re-run</t>
  </si>
  <si>
    <t xml:space="preserve">Execution %</t>
  </si>
  <si>
    <t xml:space="preserve">Pass % (of executed)</t>
  </si>
  <si>
    <t xml:space="preserve">Bugs logged</t>
  </si>
  <si>
    <t xml:space="preserve">Critical + High bugs</t>
  </si>
  <si>
    <t xml:space="preserve">How to use this file</t>
  </si>
  <si>
    <t xml:space="preserve">1. Light-yellow cells (Actual Result, Status, Bug ID, Date Tested) are the ones YOU fill after running each test on saucedemo.com.</t>
  </si>
  <si>
    <t xml:space="preserve">2. Status choices: Pass, Fail, Blocked, Re-run. This summary updates by itself.</t>
  </si>
  <si>
    <t xml:space="preserve">3. TC_001 to TC_011: only the Expected Result wording was fixed; your actual results were kept. TC_012 was rewritten and must be re-run.</t>
  </si>
  <si>
    <t xml:space="preserve">4. TC_013 to TC_043 are new. Expected results are what SauceDemo should do; write what you really see in Actual Result.</t>
  </si>
  <si>
    <t xml:space="preserve">5. If a buggy-user case (TC_037 to TC_042) behaves differently from Expected, set Status = Fail and log it in Bug Reports.</t>
  </si>
  <si>
    <t xml:space="preserve">6. Dates in the old file (46234 / 46235) were Excel serial numbers; they are shown here as 31-Jul-2026 and 01-Aug-2026. Correct them if you ran the tests on other days.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</si>
</sst>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2"/>
      <color theme="10"/>
      <name val="Calibri"/>
      <family val="2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Prathmeshrrai/sauce-demo-manual-testing/blob/main/evidence/BUG_001_login_error_clipped.jpg" TargetMode="External"/><Relationship Id="rId2" Type="http://schemas.openxmlformats.org/officeDocument/2006/relationships/hyperlink" Target="https://github.com/Prathmeshrrai/sauce-demo-manual-testing/blob/main/evidence/BUG_002_problem_user_same_images.jpg" TargetMode="External"/><Relationship Id="rId3" Type="http://schemas.openxmlformats.org/officeDocument/2006/relationships/hyperlink" Target="https://github.com/Prathmeshrrai/sauce-demo-manual-testing/blob/main/evidence/BUG_003_problem_user_last_name.jpg" TargetMode="External"/><Relationship Id="rId4" Type="http://schemas.openxmlformats.org/officeDocument/2006/relationships/hyperlink" Target="https://github.com/Prathmeshrrai/sauce-demo-manual-testing/blob/main/evidence/BUG_004_problem_user_cart_badge_3.jpg" TargetMode="External"/><Relationship Id="rId5" Type="http://schemas.openxmlformats.org/officeDocument/2006/relationships/hyperlink" Target="https://github.com/Prathmeshrrai/sauce-demo-manual-testing/blob/main/evidence/BUG_005_007_error_user_overview_finish.jpg" TargetMode="External"/><Relationship Id="rId6" Type="http://schemas.openxmlformats.org/officeDocument/2006/relationships/hyperlink" Target="https://github.com/Prathmeshrrai/sauce-demo-manual-testing/blob/main/evidence/BUG_005_007_error_user_overview_finish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44"/>
    <col collapsed="false" customWidth="true" hidden="false" outlineLevel="0" max="6" min="6" style="1" width="28"/>
    <col collapsed="false" customWidth="true" hidden="false" outlineLevel="0" max="7" min="7" style="1" width="48"/>
    <col collapsed="false" customWidth="true" hidden="false" outlineLevel="0" max="8" min="8" style="1" width="40"/>
    <col collapsed="false" customWidth="true" hidden="false" outlineLevel="0" max="11" min="9" style="1" width="10"/>
    <col collapsed="false" customWidth="true" hidden="false" outlineLevel="0" max="12" min="12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4.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4" t="s">
        <v>20</v>
      </c>
      <c r="J2" s="3" t="s">
        <v>21</v>
      </c>
      <c r="K2" s="4"/>
      <c r="L2" s="5" t="n">
        <v>46234</v>
      </c>
    </row>
    <row r="3" customFormat="false" ht="34.5" hidden="false" customHeight="true" outlineLevel="0" collapsed="false">
      <c r="A3" s="3" t="s">
        <v>22</v>
      </c>
      <c r="B3" s="3" t="s">
        <v>13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4" t="s">
        <v>28</v>
      </c>
      <c r="I3" s="4" t="s">
        <v>20</v>
      </c>
      <c r="J3" s="3" t="s">
        <v>21</v>
      </c>
      <c r="K3" s="4"/>
      <c r="L3" s="5" t="n">
        <v>46235</v>
      </c>
    </row>
    <row r="4" customFormat="false" ht="23.25" hidden="false" customHeight="true" outlineLevel="0" collapsed="false">
      <c r="A4" s="3" t="s">
        <v>29</v>
      </c>
      <c r="B4" s="3" t="s">
        <v>13</v>
      </c>
      <c r="C4" s="3" t="s">
        <v>30</v>
      </c>
      <c r="D4" s="3" t="s">
        <v>24</v>
      </c>
      <c r="E4" s="3" t="s">
        <v>31</v>
      </c>
      <c r="F4" s="3" t="s">
        <v>32</v>
      </c>
      <c r="G4" s="3" t="s">
        <v>33</v>
      </c>
      <c r="H4" s="4" t="s">
        <v>34</v>
      </c>
      <c r="I4" s="4" t="s">
        <v>20</v>
      </c>
      <c r="J4" s="3" t="s">
        <v>35</v>
      </c>
      <c r="K4" s="4"/>
      <c r="L4" s="5" t="n">
        <v>46235</v>
      </c>
    </row>
    <row r="5" customFormat="false" ht="34.5" hidden="false" customHeight="true" outlineLevel="0" collapsed="false">
      <c r="A5" s="3" t="s">
        <v>36</v>
      </c>
      <c r="B5" s="3" t="s">
        <v>13</v>
      </c>
      <c r="C5" s="3" t="s">
        <v>37</v>
      </c>
      <c r="D5" s="3" t="s">
        <v>24</v>
      </c>
      <c r="E5" s="3" t="s">
        <v>38</v>
      </c>
      <c r="F5" s="3" t="s">
        <v>39</v>
      </c>
      <c r="G5" s="3" t="s">
        <v>40</v>
      </c>
      <c r="H5" s="4" t="s">
        <v>41</v>
      </c>
      <c r="I5" s="4" t="s">
        <v>20</v>
      </c>
      <c r="J5" s="3" t="s">
        <v>21</v>
      </c>
      <c r="K5" s="4"/>
      <c r="L5" s="5" t="n">
        <v>46235</v>
      </c>
    </row>
    <row r="6" customFormat="false" ht="23.25" hidden="false" customHeight="true" outlineLevel="0" collapsed="false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4" t="s">
        <v>49</v>
      </c>
      <c r="I6" s="4" t="s">
        <v>20</v>
      </c>
      <c r="J6" s="3" t="s">
        <v>21</v>
      </c>
      <c r="K6" s="4"/>
      <c r="L6" s="5" t="n">
        <v>46235</v>
      </c>
    </row>
    <row r="7" customFormat="false" ht="23.25" hidden="false" customHeight="true" outlineLevel="0" collapsed="false">
      <c r="A7" s="3" t="s">
        <v>50</v>
      </c>
      <c r="B7" s="3" t="s">
        <v>43</v>
      </c>
      <c r="C7" s="3" t="s">
        <v>51</v>
      </c>
      <c r="D7" s="3" t="s">
        <v>52</v>
      </c>
      <c r="E7" s="3" t="s">
        <v>53</v>
      </c>
      <c r="F7" s="3" t="s">
        <v>47</v>
      </c>
      <c r="G7" s="3" t="s">
        <v>54</v>
      </c>
      <c r="H7" s="4" t="s">
        <v>55</v>
      </c>
      <c r="I7" s="4" t="s">
        <v>20</v>
      </c>
      <c r="J7" s="3" t="s">
        <v>35</v>
      </c>
      <c r="K7" s="4"/>
      <c r="L7" s="5" t="n">
        <v>46235</v>
      </c>
    </row>
    <row r="8" customFormat="false" ht="45.75" hidden="false" customHeight="true" outlineLevel="0" collapsed="false">
      <c r="A8" s="3" t="s">
        <v>56</v>
      </c>
      <c r="B8" s="3" t="s">
        <v>43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4" t="s">
        <v>62</v>
      </c>
      <c r="I8" s="4" t="s">
        <v>20</v>
      </c>
      <c r="J8" s="3" t="s">
        <v>35</v>
      </c>
      <c r="K8" s="4"/>
      <c r="L8" s="5" t="n">
        <v>46235</v>
      </c>
    </row>
    <row r="9" customFormat="false" ht="34.5" hidden="false" customHeight="true" outlineLevel="0" collapsed="false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4" t="s">
        <v>70</v>
      </c>
      <c r="I9" s="4" t="s">
        <v>20</v>
      </c>
      <c r="J9" s="3" t="s">
        <v>21</v>
      </c>
      <c r="K9" s="4"/>
      <c r="L9" s="5" t="n">
        <v>46235</v>
      </c>
    </row>
    <row r="10" customFormat="false" ht="23.25" hidden="false" customHeight="true" outlineLevel="0" collapsed="false">
      <c r="A10" s="3" t="s">
        <v>71</v>
      </c>
      <c r="B10" s="3" t="s">
        <v>64</v>
      </c>
      <c r="C10" s="3" t="s">
        <v>72</v>
      </c>
      <c r="D10" s="3" t="s">
        <v>73</v>
      </c>
      <c r="E10" s="3" t="s">
        <v>74</v>
      </c>
      <c r="F10" s="3" t="s">
        <v>32</v>
      </c>
      <c r="G10" s="3" t="s">
        <v>75</v>
      </c>
      <c r="H10" s="4" t="s">
        <v>76</v>
      </c>
      <c r="I10" s="4" t="s">
        <v>20</v>
      </c>
      <c r="J10" s="3" t="s">
        <v>35</v>
      </c>
      <c r="K10" s="4"/>
      <c r="L10" s="5" t="n">
        <v>46235</v>
      </c>
    </row>
    <row r="11" customFormat="false" ht="34.5" hidden="false" customHeight="true" outlineLevel="0" collapsed="false">
      <c r="A11" s="3" t="s">
        <v>77</v>
      </c>
      <c r="B11" s="3" t="s">
        <v>64</v>
      </c>
      <c r="C11" s="3" t="s">
        <v>78</v>
      </c>
      <c r="D11" s="3" t="s">
        <v>79</v>
      </c>
      <c r="E11" s="3" t="s">
        <v>80</v>
      </c>
      <c r="F11" s="3" t="s">
        <v>32</v>
      </c>
      <c r="G11" s="3" t="s">
        <v>81</v>
      </c>
      <c r="H11" s="4" t="s">
        <v>82</v>
      </c>
      <c r="I11" s="4" t="s">
        <v>20</v>
      </c>
      <c r="J11" s="3" t="s">
        <v>21</v>
      </c>
      <c r="K11" s="4"/>
      <c r="L11" s="5" t="n">
        <v>46235</v>
      </c>
    </row>
    <row r="12" customFormat="false" ht="23.25" hidden="false" customHeight="true" outlineLevel="0" collapsed="false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32</v>
      </c>
      <c r="G12" s="3" t="s">
        <v>88</v>
      </c>
      <c r="H12" s="4" t="s">
        <v>89</v>
      </c>
      <c r="I12" s="4" t="s">
        <v>20</v>
      </c>
      <c r="J12" s="3" t="s">
        <v>21</v>
      </c>
      <c r="K12" s="4"/>
      <c r="L12" s="5" t="n">
        <v>46235</v>
      </c>
    </row>
    <row r="13" customFormat="false" ht="23.25" hidden="false" customHeight="true" outlineLevel="0" collapsed="false">
      <c r="A13" s="3" t="s">
        <v>90</v>
      </c>
      <c r="B13" s="3" t="s">
        <v>84</v>
      </c>
      <c r="C13" s="3" t="s">
        <v>91</v>
      </c>
      <c r="D13" s="3" t="s">
        <v>86</v>
      </c>
      <c r="E13" s="3" t="s">
        <v>92</v>
      </c>
      <c r="F13" s="3" t="s">
        <v>32</v>
      </c>
      <c r="G13" s="3" t="s">
        <v>93</v>
      </c>
      <c r="H13" s="4" t="s">
        <v>94</v>
      </c>
      <c r="I13" s="4" t="s">
        <v>20</v>
      </c>
      <c r="J13" s="3" t="s">
        <v>21</v>
      </c>
      <c r="K13" s="4"/>
      <c r="L13" s="5" t="n">
        <v>46305</v>
      </c>
    </row>
    <row r="14" customFormat="false" ht="34.5" hidden="false" customHeight="true" outlineLevel="0" collapsed="false">
      <c r="A14" s="3" t="s">
        <v>95</v>
      </c>
      <c r="B14" s="3" t="s">
        <v>13</v>
      </c>
      <c r="C14" s="3" t="s">
        <v>96</v>
      </c>
      <c r="D14" s="3" t="s">
        <v>24</v>
      </c>
      <c r="E14" s="3" t="s">
        <v>97</v>
      </c>
      <c r="F14" s="3" t="s">
        <v>98</v>
      </c>
      <c r="G14" s="3" t="s">
        <v>99</v>
      </c>
      <c r="H14" s="4" t="s">
        <v>100</v>
      </c>
      <c r="I14" s="4" t="s">
        <v>20</v>
      </c>
      <c r="J14" s="3" t="s">
        <v>21</v>
      </c>
      <c r="K14" s="4"/>
      <c r="L14" s="5" t="n">
        <v>46305</v>
      </c>
    </row>
    <row r="15" customFormat="false" ht="34.5" hidden="false" customHeight="true" outlineLevel="0" collapsed="false">
      <c r="A15" s="3" t="s">
        <v>101</v>
      </c>
      <c r="B15" s="3" t="s">
        <v>13</v>
      </c>
      <c r="C15" s="3" t="s">
        <v>102</v>
      </c>
      <c r="D15" s="3" t="s">
        <v>24</v>
      </c>
      <c r="E15" s="3" t="s">
        <v>103</v>
      </c>
      <c r="F15" s="3" t="s">
        <v>104</v>
      </c>
      <c r="G15" s="3" t="s">
        <v>105</v>
      </c>
      <c r="H15" s="4" t="s">
        <v>106</v>
      </c>
      <c r="I15" s="4" t="s">
        <v>20</v>
      </c>
      <c r="J15" s="3" t="s">
        <v>35</v>
      </c>
      <c r="K15" s="4"/>
      <c r="L15" s="5" t="n">
        <v>46305</v>
      </c>
    </row>
    <row r="16" customFormat="false" ht="34.5" hidden="false" customHeight="true" outlineLevel="0" collapsed="false">
      <c r="A16" s="3" t="s">
        <v>107</v>
      </c>
      <c r="B16" s="3" t="s">
        <v>13</v>
      </c>
      <c r="C16" s="3" t="s">
        <v>108</v>
      </c>
      <c r="D16" s="3" t="s">
        <v>24</v>
      </c>
      <c r="E16" s="3" t="s">
        <v>109</v>
      </c>
      <c r="F16" s="3" t="s">
        <v>110</v>
      </c>
      <c r="G16" s="3" t="s">
        <v>111</v>
      </c>
      <c r="H16" s="4" t="s">
        <v>34</v>
      </c>
      <c r="I16" s="4" t="s">
        <v>20</v>
      </c>
      <c r="J16" s="3" t="s">
        <v>35</v>
      </c>
      <c r="K16" s="4"/>
      <c r="L16" s="5" t="n">
        <v>46305</v>
      </c>
    </row>
    <row r="17" customFormat="false" ht="34.5" hidden="false" customHeight="true" outlineLevel="0" collapsed="false">
      <c r="A17" s="3" t="s">
        <v>112</v>
      </c>
      <c r="B17" s="3" t="s">
        <v>13</v>
      </c>
      <c r="C17" s="3" t="s">
        <v>113</v>
      </c>
      <c r="D17" s="3" t="s">
        <v>24</v>
      </c>
      <c r="E17" s="3" t="s">
        <v>114</v>
      </c>
      <c r="F17" s="3" t="s">
        <v>115</v>
      </c>
      <c r="G17" s="3" t="s">
        <v>116</v>
      </c>
      <c r="H17" s="4" t="s">
        <v>117</v>
      </c>
      <c r="I17" s="4" t="s">
        <v>20</v>
      </c>
      <c r="J17" s="3" t="s">
        <v>118</v>
      </c>
      <c r="K17" s="4"/>
      <c r="L17" s="5" t="n">
        <v>46305</v>
      </c>
    </row>
    <row r="18" customFormat="false" ht="34.5" hidden="false" customHeight="true" outlineLevel="0" collapsed="false">
      <c r="A18" s="3" t="s">
        <v>119</v>
      </c>
      <c r="B18" s="3" t="s">
        <v>13</v>
      </c>
      <c r="C18" s="3" t="s">
        <v>120</v>
      </c>
      <c r="D18" s="3" t="s">
        <v>24</v>
      </c>
      <c r="E18" s="3" t="s">
        <v>121</v>
      </c>
      <c r="F18" s="3" t="s">
        <v>122</v>
      </c>
      <c r="G18" s="3" t="s">
        <v>123</v>
      </c>
      <c r="H18" s="4" t="s">
        <v>124</v>
      </c>
      <c r="I18" s="4" t="s">
        <v>20</v>
      </c>
      <c r="J18" s="3" t="s">
        <v>35</v>
      </c>
      <c r="K18" s="4"/>
      <c r="L18" s="5" t="n">
        <v>46305</v>
      </c>
    </row>
    <row r="19" customFormat="false" ht="23.25" hidden="false" customHeight="true" outlineLevel="0" collapsed="false">
      <c r="A19" s="3" t="s">
        <v>125</v>
      </c>
      <c r="B19" s="3" t="s">
        <v>13</v>
      </c>
      <c r="C19" s="3" t="s">
        <v>126</v>
      </c>
      <c r="D19" s="3" t="s">
        <v>24</v>
      </c>
      <c r="E19" s="3" t="s">
        <v>127</v>
      </c>
      <c r="F19" s="3" t="s">
        <v>17</v>
      </c>
      <c r="G19" s="3" t="s">
        <v>128</v>
      </c>
      <c r="H19" s="4" t="s">
        <v>129</v>
      </c>
      <c r="I19" s="4" t="s">
        <v>20</v>
      </c>
      <c r="J19" s="3" t="s">
        <v>118</v>
      </c>
      <c r="K19" s="4"/>
      <c r="L19" s="5" t="n">
        <v>46305</v>
      </c>
    </row>
    <row r="20" customFormat="false" ht="15" hidden="false" customHeight="true" outlineLevel="0" collapsed="false">
      <c r="A20" s="3" t="s">
        <v>130</v>
      </c>
      <c r="B20" s="3" t="s">
        <v>13</v>
      </c>
      <c r="C20" s="3" t="s">
        <v>131</v>
      </c>
      <c r="D20" s="3" t="s">
        <v>24</v>
      </c>
      <c r="E20" s="3" t="s">
        <v>132</v>
      </c>
      <c r="F20" s="3" t="s">
        <v>133</v>
      </c>
      <c r="G20" s="3" t="s">
        <v>134</v>
      </c>
      <c r="H20" s="4" t="s">
        <v>135</v>
      </c>
      <c r="I20" s="4" t="s">
        <v>20</v>
      </c>
      <c r="J20" s="3" t="s">
        <v>35</v>
      </c>
      <c r="K20" s="4"/>
      <c r="L20" s="5" t="n">
        <v>46305</v>
      </c>
    </row>
    <row r="21" customFormat="false" ht="23.25" hidden="false" customHeight="true" outlineLevel="0" collapsed="false">
      <c r="A21" s="3" t="s">
        <v>136</v>
      </c>
      <c r="B21" s="3" t="s">
        <v>137</v>
      </c>
      <c r="C21" s="3" t="s">
        <v>138</v>
      </c>
      <c r="D21" s="3" t="s">
        <v>86</v>
      </c>
      <c r="E21" s="3" t="s">
        <v>139</v>
      </c>
      <c r="F21" s="3" t="s">
        <v>32</v>
      </c>
      <c r="G21" s="3" t="s">
        <v>140</v>
      </c>
      <c r="H21" s="4" t="s">
        <v>141</v>
      </c>
      <c r="I21" s="4" t="s">
        <v>20</v>
      </c>
      <c r="J21" s="3" t="s">
        <v>21</v>
      </c>
      <c r="K21" s="4"/>
      <c r="L21" s="5" t="n">
        <v>46305</v>
      </c>
    </row>
    <row r="22" customFormat="false" ht="23.25" hidden="false" customHeight="true" outlineLevel="0" collapsed="false">
      <c r="A22" s="3" t="s">
        <v>142</v>
      </c>
      <c r="B22" s="3" t="s">
        <v>137</v>
      </c>
      <c r="C22" s="3" t="s">
        <v>143</v>
      </c>
      <c r="D22" s="3" t="s">
        <v>45</v>
      </c>
      <c r="E22" s="3" t="s">
        <v>144</v>
      </c>
      <c r="F22" s="3" t="s">
        <v>32</v>
      </c>
      <c r="G22" s="3" t="s">
        <v>145</v>
      </c>
      <c r="H22" s="4" t="s">
        <v>146</v>
      </c>
      <c r="I22" s="4" t="s">
        <v>20</v>
      </c>
      <c r="J22" s="3" t="s">
        <v>35</v>
      </c>
      <c r="K22" s="4"/>
      <c r="L22" s="5" t="n">
        <v>46305</v>
      </c>
    </row>
    <row r="23" customFormat="false" ht="23.25" hidden="false" customHeight="true" outlineLevel="0" collapsed="false">
      <c r="A23" s="3" t="s">
        <v>147</v>
      </c>
      <c r="B23" s="3" t="s">
        <v>137</v>
      </c>
      <c r="C23" s="3" t="s">
        <v>148</v>
      </c>
      <c r="D23" s="3" t="s">
        <v>45</v>
      </c>
      <c r="E23" s="3" t="s">
        <v>149</v>
      </c>
      <c r="F23" s="3" t="s">
        <v>32</v>
      </c>
      <c r="G23" s="3" t="s">
        <v>150</v>
      </c>
      <c r="H23" s="4" t="s">
        <v>151</v>
      </c>
      <c r="I23" s="4" t="s">
        <v>20</v>
      </c>
      <c r="J23" s="3" t="s">
        <v>35</v>
      </c>
      <c r="K23" s="4"/>
      <c r="L23" s="5" t="n">
        <v>46305</v>
      </c>
    </row>
    <row r="24" customFormat="false" ht="23.25" hidden="false" customHeight="true" outlineLevel="0" collapsed="false">
      <c r="A24" s="3" t="s">
        <v>152</v>
      </c>
      <c r="B24" s="3" t="s">
        <v>137</v>
      </c>
      <c r="C24" s="3" t="s">
        <v>153</v>
      </c>
      <c r="D24" s="3" t="s">
        <v>45</v>
      </c>
      <c r="E24" s="3" t="s">
        <v>154</v>
      </c>
      <c r="F24" s="3" t="s">
        <v>32</v>
      </c>
      <c r="G24" s="3" t="s">
        <v>155</v>
      </c>
      <c r="H24" s="4" t="s">
        <v>156</v>
      </c>
      <c r="I24" s="4" t="s">
        <v>20</v>
      </c>
      <c r="J24" s="3" t="s">
        <v>35</v>
      </c>
      <c r="K24" s="4"/>
      <c r="L24" s="5" t="n">
        <v>46305</v>
      </c>
    </row>
    <row r="25" customFormat="false" ht="23.25" hidden="false" customHeight="true" outlineLevel="0" collapsed="false">
      <c r="A25" s="3" t="s">
        <v>157</v>
      </c>
      <c r="B25" s="3" t="s">
        <v>137</v>
      </c>
      <c r="C25" s="3" t="s">
        <v>158</v>
      </c>
      <c r="D25" s="3" t="s">
        <v>45</v>
      </c>
      <c r="E25" s="3" t="s">
        <v>159</v>
      </c>
      <c r="F25" s="3" t="s">
        <v>32</v>
      </c>
      <c r="G25" s="3" t="s">
        <v>160</v>
      </c>
      <c r="H25" s="4" t="s">
        <v>161</v>
      </c>
      <c r="I25" s="4" t="s">
        <v>20</v>
      </c>
      <c r="J25" s="3" t="s">
        <v>35</v>
      </c>
      <c r="K25" s="4"/>
      <c r="L25" s="5" t="n">
        <v>46305</v>
      </c>
    </row>
    <row r="26" customFormat="false" ht="23.25" hidden="false" customHeight="true" outlineLevel="0" collapsed="false">
      <c r="A26" s="3" t="s">
        <v>162</v>
      </c>
      <c r="B26" s="3" t="s">
        <v>137</v>
      </c>
      <c r="C26" s="3" t="s">
        <v>163</v>
      </c>
      <c r="D26" s="3" t="s">
        <v>45</v>
      </c>
      <c r="E26" s="3" t="s">
        <v>164</v>
      </c>
      <c r="F26" s="3" t="s">
        <v>47</v>
      </c>
      <c r="G26" s="3" t="s">
        <v>165</v>
      </c>
      <c r="H26" s="4" t="s">
        <v>166</v>
      </c>
      <c r="I26" s="4" t="s">
        <v>20</v>
      </c>
      <c r="J26" s="3" t="s">
        <v>35</v>
      </c>
      <c r="K26" s="4"/>
      <c r="L26" s="5" t="n">
        <v>46305</v>
      </c>
    </row>
    <row r="27" customFormat="false" ht="34.5" hidden="false" customHeight="true" outlineLevel="0" collapsed="false">
      <c r="A27" s="3" t="s">
        <v>167</v>
      </c>
      <c r="B27" s="3" t="s">
        <v>43</v>
      </c>
      <c r="C27" s="3" t="s">
        <v>168</v>
      </c>
      <c r="D27" s="3" t="s">
        <v>169</v>
      </c>
      <c r="E27" s="3" t="s">
        <v>170</v>
      </c>
      <c r="F27" s="3" t="s">
        <v>47</v>
      </c>
      <c r="G27" s="3" t="s">
        <v>171</v>
      </c>
      <c r="H27" s="4" t="s">
        <v>172</v>
      </c>
      <c r="I27" s="4" t="s">
        <v>20</v>
      </c>
      <c r="J27" s="3" t="s">
        <v>21</v>
      </c>
      <c r="K27" s="4"/>
      <c r="L27" s="5" t="n">
        <v>46305</v>
      </c>
    </row>
    <row r="28" customFormat="false" ht="23.25" hidden="false" customHeight="true" outlineLevel="0" collapsed="false">
      <c r="A28" s="3" t="s">
        <v>173</v>
      </c>
      <c r="B28" s="3" t="s">
        <v>43</v>
      </c>
      <c r="C28" s="3" t="s">
        <v>174</v>
      </c>
      <c r="D28" s="3" t="s">
        <v>175</v>
      </c>
      <c r="E28" s="3" t="s">
        <v>176</v>
      </c>
      <c r="F28" s="3" t="s">
        <v>47</v>
      </c>
      <c r="G28" s="3" t="s">
        <v>177</v>
      </c>
      <c r="H28" s="4" t="s">
        <v>178</v>
      </c>
      <c r="I28" s="4" t="s">
        <v>20</v>
      </c>
      <c r="J28" s="3" t="s">
        <v>35</v>
      </c>
      <c r="K28" s="4"/>
      <c r="L28" s="5" t="n">
        <v>46305</v>
      </c>
    </row>
    <row r="29" customFormat="false" ht="15" hidden="false" customHeight="true" outlineLevel="0" collapsed="false">
      <c r="A29" s="3" t="s">
        <v>179</v>
      </c>
      <c r="B29" s="3" t="s">
        <v>43</v>
      </c>
      <c r="C29" s="3" t="s">
        <v>180</v>
      </c>
      <c r="D29" s="3" t="s">
        <v>181</v>
      </c>
      <c r="E29" s="3" t="s">
        <v>182</v>
      </c>
      <c r="F29" s="3" t="s">
        <v>32</v>
      </c>
      <c r="G29" s="3" t="s">
        <v>128</v>
      </c>
      <c r="H29" s="4" t="s">
        <v>183</v>
      </c>
      <c r="I29" s="4" t="s">
        <v>20</v>
      </c>
      <c r="J29" s="3" t="s">
        <v>118</v>
      </c>
      <c r="K29" s="4"/>
      <c r="L29" s="5" t="n">
        <v>46305</v>
      </c>
    </row>
    <row r="30" customFormat="false" ht="23.25" hidden="false" customHeight="true" outlineLevel="0" collapsed="false">
      <c r="A30" s="3" t="s">
        <v>184</v>
      </c>
      <c r="B30" s="3" t="s">
        <v>43</v>
      </c>
      <c r="C30" s="3" t="s">
        <v>185</v>
      </c>
      <c r="D30" s="3" t="s">
        <v>186</v>
      </c>
      <c r="E30" s="3" t="s">
        <v>187</v>
      </c>
      <c r="F30" s="3" t="s">
        <v>47</v>
      </c>
      <c r="G30" s="3" t="s">
        <v>188</v>
      </c>
      <c r="H30" s="4" t="s">
        <v>189</v>
      </c>
      <c r="I30" s="4" t="s">
        <v>20</v>
      </c>
      <c r="J30" s="3" t="s">
        <v>35</v>
      </c>
      <c r="K30" s="4"/>
      <c r="L30" s="5" t="n">
        <v>46305</v>
      </c>
    </row>
    <row r="31" customFormat="false" ht="45.75" hidden="false" customHeight="true" outlineLevel="0" collapsed="false">
      <c r="A31" s="3" t="s">
        <v>190</v>
      </c>
      <c r="B31" s="3" t="s">
        <v>64</v>
      </c>
      <c r="C31" s="3" t="s">
        <v>191</v>
      </c>
      <c r="D31" s="3" t="s">
        <v>192</v>
      </c>
      <c r="E31" s="3" t="s">
        <v>193</v>
      </c>
      <c r="F31" s="3" t="s">
        <v>194</v>
      </c>
      <c r="G31" s="3" t="s">
        <v>195</v>
      </c>
      <c r="H31" s="4" t="s">
        <v>196</v>
      </c>
      <c r="I31" s="4" t="s">
        <v>20</v>
      </c>
      <c r="J31" s="3" t="s">
        <v>35</v>
      </c>
      <c r="K31" s="4"/>
      <c r="L31" s="5" t="n">
        <v>46305</v>
      </c>
    </row>
    <row r="32" customFormat="false" ht="34.5" hidden="false" customHeight="true" outlineLevel="0" collapsed="false">
      <c r="A32" s="3" t="s">
        <v>197</v>
      </c>
      <c r="B32" s="3" t="s">
        <v>64</v>
      </c>
      <c r="C32" s="3" t="s">
        <v>198</v>
      </c>
      <c r="D32" s="3" t="s">
        <v>192</v>
      </c>
      <c r="E32" s="3" t="s">
        <v>199</v>
      </c>
      <c r="F32" s="3" t="s">
        <v>200</v>
      </c>
      <c r="G32" s="3" t="s">
        <v>201</v>
      </c>
      <c r="H32" s="4" t="s">
        <v>202</v>
      </c>
      <c r="I32" s="4" t="s">
        <v>20</v>
      </c>
      <c r="J32" s="3" t="s">
        <v>35</v>
      </c>
      <c r="K32" s="4"/>
      <c r="L32" s="5" t="n">
        <v>46305</v>
      </c>
    </row>
    <row r="33" customFormat="false" ht="34.5" hidden="false" customHeight="true" outlineLevel="0" collapsed="false">
      <c r="A33" s="3" t="s">
        <v>203</v>
      </c>
      <c r="B33" s="3" t="s">
        <v>64</v>
      </c>
      <c r="C33" s="3" t="s">
        <v>204</v>
      </c>
      <c r="D33" s="3" t="s">
        <v>192</v>
      </c>
      <c r="E33" s="3" t="s">
        <v>205</v>
      </c>
      <c r="F33" s="3" t="s">
        <v>206</v>
      </c>
      <c r="G33" s="3" t="s">
        <v>207</v>
      </c>
      <c r="H33" s="4" t="s">
        <v>208</v>
      </c>
      <c r="I33" s="4" t="s">
        <v>20</v>
      </c>
      <c r="J33" s="3" t="s">
        <v>118</v>
      </c>
      <c r="K33" s="4"/>
      <c r="L33" s="5" t="n">
        <v>46305</v>
      </c>
    </row>
    <row r="34" customFormat="false" ht="23.25" hidden="false" customHeight="true" outlineLevel="0" collapsed="false">
      <c r="A34" s="3" t="s">
        <v>209</v>
      </c>
      <c r="B34" s="3" t="s">
        <v>64</v>
      </c>
      <c r="C34" s="3" t="s">
        <v>210</v>
      </c>
      <c r="D34" s="3" t="s">
        <v>192</v>
      </c>
      <c r="E34" s="3" t="s">
        <v>211</v>
      </c>
      <c r="F34" s="3" t="s">
        <v>32</v>
      </c>
      <c r="G34" s="3" t="s">
        <v>212</v>
      </c>
      <c r="H34" s="4" t="s">
        <v>213</v>
      </c>
      <c r="I34" s="4" t="s">
        <v>20</v>
      </c>
      <c r="J34" s="3" t="s">
        <v>118</v>
      </c>
      <c r="K34" s="4"/>
      <c r="L34" s="5" t="n">
        <v>46305</v>
      </c>
    </row>
    <row r="35" customFormat="false" ht="23.25" hidden="false" customHeight="true" outlineLevel="0" collapsed="false">
      <c r="A35" s="3" t="s">
        <v>214</v>
      </c>
      <c r="B35" s="3" t="s">
        <v>64</v>
      </c>
      <c r="C35" s="3" t="s">
        <v>215</v>
      </c>
      <c r="D35" s="3" t="s">
        <v>216</v>
      </c>
      <c r="E35" s="3" t="s">
        <v>217</v>
      </c>
      <c r="F35" s="3" t="s">
        <v>218</v>
      </c>
      <c r="G35" s="3" t="s">
        <v>219</v>
      </c>
      <c r="H35" s="4" t="s">
        <v>220</v>
      </c>
      <c r="I35" s="4" t="s">
        <v>20</v>
      </c>
      <c r="J35" s="3" t="s">
        <v>21</v>
      </c>
      <c r="K35" s="4"/>
      <c r="L35" s="5" t="n">
        <v>46305</v>
      </c>
    </row>
    <row r="36" customFormat="false" ht="23.25" hidden="false" customHeight="true" outlineLevel="0" collapsed="false">
      <c r="A36" s="3" t="s">
        <v>221</v>
      </c>
      <c r="B36" s="3" t="s">
        <v>64</v>
      </c>
      <c r="C36" s="3" t="s">
        <v>222</v>
      </c>
      <c r="D36" s="3" t="s">
        <v>79</v>
      </c>
      <c r="E36" s="3" t="s">
        <v>211</v>
      </c>
      <c r="F36" s="3" t="s">
        <v>32</v>
      </c>
      <c r="G36" s="3" t="s">
        <v>128</v>
      </c>
      <c r="H36" s="4" t="s">
        <v>223</v>
      </c>
      <c r="I36" s="4" t="s">
        <v>20</v>
      </c>
      <c r="J36" s="3" t="s">
        <v>118</v>
      </c>
      <c r="K36" s="4"/>
      <c r="L36" s="5" t="n">
        <v>46305</v>
      </c>
    </row>
    <row r="37" customFormat="false" ht="23.25" hidden="false" customHeight="true" outlineLevel="0" collapsed="false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32</v>
      </c>
      <c r="G37" s="3" t="s">
        <v>229</v>
      </c>
      <c r="H37" s="4" t="s">
        <v>230</v>
      </c>
      <c r="I37" s="4" t="s">
        <v>20</v>
      </c>
      <c r="J37" s="3" t="s">
        <v>21</v>
      </c>
      <c r="K37" s="4"/>
      <c r="L37" s="5" t="n">
        <v>46305</v>
      </c>
    </row>
    <row r="38" customFormat="false" ht="23.25" hidden="false" customHeight="true" outlineLevel="0" collapsed="false">
      <c r="A38" s="3" t="s">
        <v>231</v>
      </c>
      <c r="B38" s="3" t="s">
        <v>232</v>
      </c>
      <c r="C38" s="3" t="s">
        <v>233</v>
      </c>
      <c r="D38" s="3" t="s">
        <v>24</v>
      </c>
      <c r="E38" s="3" t="s">
        <v>234</v>
      </c>
      <c r="F38" s="3" t="s">
        <v>235</v>
      </c>
      <c r="G38" s="3" t="s">
        <v>236</v>
      </c>
      <c r="H38" s="4" t="s">
        <v>237</v>
      </c>
      <c r="I38" s="4" t="s">
        <v>238</v>
      </c>
      <c r="J38" s="3" t="s">
        <v>35</v>
      </c>
      <c r="K38" s="4" t="s">
        <v>239</v>
      </c>
      <c r="L38" s="5" t="n">
        <v>46305</v>
      </c>
    </row>
    <row r="39" customFormat="false" ht="34.5" hidden="false" customHeight="true" outlineLevel="0" collapsed="false">
      <c r="A39" s="3" t="s">
        <v>240</v>
      </c>
      <c r="B39" s="3" t="s">
        <v>232</v>
      </c>
      <c r="C39" s="3" t="s">
        <v>241</v>
      </c>
      <c r="D39" s="3" t="s">
        <v>24</v>
      </c>
      <c r="E39" s="3" t="s">
        <v>242</v>
      </c>
      <c r="F39" s="3" t="s">
        <v>235</v>
      </c>
      <c r="G39" s="3" t="s">
        <v>243</v>
      </c>
      <c r="H39" s="4" t="s">
        <v>244</v>
      </c>
      <c r="I39" s="4" t="s">
        <v>238</v>
      </c>
      <c r="J39" s="3" t="s">
        <v>35</v>
      </c>
      <c r="K39" s="4" t="s">
        <v>245</v>
      </c>
      <c r="L39" s="5" t="n">
        <v>46305</v>
      </c>
    </row>
    <row r="40" customFormat="false" ht="34.5" hidden="false" customHeight="true" outlineLevel="0" collapsed="false">
      <c r="A40" s="3" t="s">
        <v>246</v>
      </c>
      <c r="B40" s="3" t="s">
        <v>232</v>
      </c>
      <c r="C40" s="3" t="s">
        <v>247</v>
      </c>
      <c r="D40" s="3" t="s">
        <v>24</v>
      </c>
      <c r="E40" s="3" t="s">
        <v>248</v>
      </c>
      <c r="F40" s="3" t="s">
        <v>235</v>
      </c>
      <c r="G40" s="3" t="s">
        <v>249</v>
      </c>
      <c r="H40" s="4" t="s">
        <v>250</v>
      </c>
      <c r="I40" s="4" t="s">
        <v>238</v>
      </c>
      <c r="J40" s="3" t="s">
        <v>21</v>
      </c>
      <c r="K40" s="4" t="s">
        <v>251</v>
      </c>
      <c r="L40" s="5" t="n">
        <v>46305</v>
      </c>
    </row>
    <row r="41" customFormat="false" ht="45.75" hidden="false" customHeight="true" outlineLevel="0" collapsed="false">
      <c r="A41" s="3" t="s">
        <v>252</v>
      </c>
      <c r="B41" s="3" t="s">
        <v>232</v>
      </c>
      <c r="C41" s="3" t="s">
        <v>253</v>
      </c>
      <c r="D41" s="3" t="s">
        <v>24</v>
      </c>
      <c r="E41" s="3" t="s">
        <v>254</v>
      </c>
      <c r="F41" s="3" t="s">
        <v>235</v>
      </c>
      <c r="G41" s="3" t="s">
        <v>255</v>
      </c>
      <c r="H41" s="4" t="s">
        <v>256</v>
      </c>
      <c r="I41" s="4" t="s">
        <v>238</v>
      </c>
      <c r="J41" s="3" t="s">
        <v>21</v>
      </c>
      <c r="K41" s="4" t="s">
        <v>257</v>
      </c>
      <c r="L41" s="5" t="n">
        <v>46305</v>
      </c>
    </row>
    <row r="42" customFormat="false" ht="34.5" hidden="false" customHeight="true" outlineLevel="0" collapsed="false">
      <c r="A42" s="3" t="s">
        <v>258</v>
      </c>
      <c r="B42" s="3" t="s">
        <v>232</v>
      </c>
      <c r="C42" s="3" t="s">
        <v>259</v>
      </c>
      <c r="D42" s="3" t="s">
        <v>24</v>
      </c>
      <c r="E42" s="3" t="s">
        <v>260</v>
      </c>
      <c r="F42" s="3" t="s">
        <v>261</v>
      </c>
      <c r="G42" s="3" t="s">
        <v>262</v>
      </c>
      <c r="H42" s="4" t="s">
        <v>263</v>
      </c>
      <c r="I42" s="4" t="s">
        <v>238</v>
      </c>
      <c r="J42" s="3" t="s">
        <v>21</v>
      </c>
      <c r="K42" s="4" t="s">
        <v>264</v>
      </c>
      <c r="L42" s="5" t="n">
        <v>46305</v>
      </c>
    </row>
    <row r="43" customFormat="false" ht="23.25" hidden="false" customHeight="true" outlineLevel="0" collapsed="false">
      <c r="A43" s="3" t="s">
        <v>265</v>
      </c>
      <c r="B43" s="3" t="s">
        <v>232</v>
      </c>
      <c r="C43" s="3" t="s">
        <v>266</v>
      </c>
      <c r="D43" s="3" t="s">
        <v>24</v>
      </c>
      <c r="E43" s="3" t="s">
        <v>267</v>
      </c>
      <c r="F43" s="3" t="s">
        <v>268</v>
      </c>
      <c r="G43" s="3" t="s">
        <v>269</v>
      </c>
      <c r="H43" s="4" t="s">
        <v>270</v>
      </c>
      <c r="I43" s="4" t="s">
        <v>20</v>
      </c>
      <c r="J43" s="3" t="s">
        <v>35</v>
      </c>
      <c r="K43" s="4"/>
      <c r="L43" s="5" t="n">
        <v>46305</v>
      </c>
    </row>
    <row r="44" customFormat="false" ht="34.5" hidden="false" customHeight="true" outlineLevel="0" collapsed="false">
      <c r="A44" s="3" t="s">
        <v>271</v>
      </c>
      <c r="B44" s="3" t="s">
        <v>13</v>
      </c>
      <c r="C44" s="3" t="s">
        <v>272</v>
      </c>
      <c r="D44" s="3" t="s">
        <v>273</v>
      </c>
      <c r="E44" s="3" t="s">
        <v>274</v>
      </c>
      <c r="F44" s="3" t="s">
        <v>275</v>
      </c>
      <c r="G44" s="3" t="s">
        <v>276</v>
      </c>
      <c r="H44" s="4" t="s">
        <v>277</v>
      </c>
      <c r="I44" s="4" t="s">
        <v>238</v>
      </c>
      <c r="J44" s="3" t="s">
        <v>118</v>
      </c>
      <c r="K44" s="4" t="s">
        <v>278</v>
      </c>
      <c r="L44" s="5" t="n">
        <v>46305</v>
      </c>
    </row>
  </sheetData>
  <dataValidations count="2">
    <dataValidation allowBlank="true" errorStyle="stop" operator="between" showDropDown="false" showErrorMessage="false" showInputMessage="false" sqref="I2:I83" type="list">
      <formula1>"Pass,Fail,Blocked,Re-run"</formula1>
      <formula2>0</formula2>
    </dataValidation>
    <dataValidation allowBlank="true" errorStyle="stop" operator="between" showDropDown="false" showErrorMessage="false" showInputMessage="false" sqref="J2:J8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6"/>
    <col collapsed="false" customWidth="true" hidden="false" outlineLevel="0" max="4" min="4" style="1" width="28"/>
    <col collapsed="false" customWidth="true" hidden="false" outlineLevel="0" max="5" min="5" style="1" width="46"/>
    <col collapsed="false" customWidth="true" hidden="false" outlineLevel="0" max="6" min="6" style="1" width="28"/>
    <col collapsed="false" customWidth="true" hidden="false" outlineLevel="0" max="7" min="7" style="1" width="32"/>
    <col collapsed="false" customWidth="true" hidden="false" outlineLevel="0" max="10" min="8" style="1" width="10"/>
    <col collapsed="false" customWidth="true" hidden="false" outlineLevel="0" max="11" min="11" style="1" width="24"/>
    <col collapsed="false" customWidth="true" hidden="false" outlineLevel="0" max="12" min="12" style="1" width="14"/>
  </cols>
  <sheetData>
    <row r="1" customFormat="false" ht="26.25" hidden="false" customHeight="true" outlineLevel="0" collapsed="false">
      <c r="A1" s="2" t="s">
        <v>10</v>
      </c>
      <c r="B1" s="2" t="s">
        <v>279</v>
      </c>
      <c r="C1" s="2" t="s">
        <v>280</v>
      </c>
      <c r="D1" s="2" t="s">
        <v>281</v>
      </c>
      <c r="E1" s="2" t="s">
        <v>282</v>
      </c>
      <c r="F1" s="2" t="s">
        <v>6</v>
      </c>
      <c r="G1" s="2" t="s">
        <v>7</v>
      </c>
      <c r="H1" s="2" t="s">
        <v>283</v>
      </c>
      <c r="I1" s="2" t="s">
        <v>9</v>
      </c>
      <c r="J1" s="2" t="s">
        <v>8</v>
      </c>
      <c r="K1" s="2" t="s">
        <v>284</v>
      </c>
      <c r="L1" s="2" t="s">
        <v>285</v>
      </c>
    </row>
    <row r="2" customFormat="false" ht="15" hidden="false" customHeight="true" outlineLevel="0" collapsed="false">
      <c r="A2" s="3" t="s">
        <v>278</v>
      </c>
      <c r="B2" s="3" t="s">
        <v>286</v>
      </c>
      <c r="C2" s="3" t="s">
        <v>287</v>
      </c>
      <c r="D2" s="3" t="s">
        <v>288</v>
      </c>
      <c r="E2" s="3" t="s">
        <v>289</v>
      </c>
      <c r="F2" s="3" t="s">
        <v>290</v>
      </c>
      <c r="G2" s="3" t="s">
        <v>291</v>
      </c>
      <c r="H2" s="3" t="s">
        <v>118</v>
      </c>
      <c r="I2" s="3" t="s">
        <v>118</v>
      </c>
      <c r="J2" s="3" t="s">
        <v>292</v>
      </c>
      <c r="K2" s="6" t="s">
        <v>293</v>
      </c>
      <c r="L2" s="7" t="n">
        <v>46305</v>
      </c>
    </row>
    <row r="3" customFormat="false" ht="15" hidden="false" customHeight="true" outlineLevel="0" collapsed="false">
      <c r="A3" s="3" t="s">
        <v>239</v>
      </c>
      <c r="B3" s="3" t="s">
        <v>231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35</v>
      </c>
      <c r="I3" s="3" t="s">
        <v>35</v>
      </c>
      <c r="J3" s="3" t="s">
        <v>292</v>
      </c>
      <c r="K3" s="6" t="s">
        <v>299</v>
      </c>
      <c r="L3" s="7" t="n">
        <v>46305</v>
      </c>
    </row>
    <row r="4" customFormat="false" ht="15" hidden="false" customHeight="true" outlineLevel="0" collapsed="false">
      <c r="A4" s="3" t="s">
        <v>257</v>
      </c>
      <c r="B4" s="3" t="s">
        <v>252</v>
      </c>
      <c r="C4" s="3" t="s">
        <v>300</v>
      </c>
      <c r="D4" s="3" t="s">
        <v>295</v>
      </c>
      <c r="E4" s="3" t="s">
        <v>301</v>
      </c>
      <c r="F4" s="3" t="s">
        <v>302</v>
      </c>
      <c r="G4" s="3" t="s">
        <v>303</v>
      </c>
      <c r="H4" s="3" t="s">
        <v>21</v>
      </c>
      <c r="I4" s="3" t="s">
        <v>21</v>
      </c>
      <c r="J4" s="3" t="s">
        <v>292</v>
      </c>
      <c r="K4" s="6" t="s">
        <v>304</v>
      </c>
      <c r="L4" s="7" t="n">
        <v>46305</v>
      </c>
    </row>
    <row r="5" customFormat="false" ht="15" hidden="false" customHeight="true" outlineLevel="0" collapsed="false">
      <c r="A5" s="3" t="s">
        <v>251</v>
      </c>
      <c r="B5" s="3" t="s">
        <v>246</v>
      </c>
      <c r="C5" s="3" t="s">
        <v>305</v>
      </c>
      <c r="D5" s="3" t="s">
        <v>295</v>
      </c>
      <c r="E5" s="3" t="s">
        <v>306</v>
      </c>
      <c r="F5" s="3" t="s">
        <v>307</v>
      </c>
      <c r="G5" s="3" t="s">
        <v>308</v>
      </c>
      <c r="H5" s="3" t="s">
        <v>21</v>
      </c>
      <c r="I5" s="3" t="s">
        <v>35</v>
      </c>
      <c r="J5" s="3" t="s">
        <v>292</v>
      </c>
      <c r="K5" s="6" t="s">
        <v>309</v>
      </c>
      <c r="L5" s="7" t="n">
        <v>46305</v>
      </c>
    </row>
    <row r="6" customFormat="false" ht="15" hidden="false" customHeight="true" outlineLevel="0" collapsed="false">
      <c r="A6" s="3" t="s">
        <v>310</v>
      </c>
      <c r="B6" s="3" t="s">
        <v>258</v>
      </c>
      <c r="C6" s="3" t="s">
        <v>311</v>
      </c>
      <c r="D6" s="3" t="s">
        <v>312</v>
      </c>
      <c r="E6" s="3" t="s">
        <v>313</v>
      </c>
      <c r="F6" s="3" t="s">
        <v>314</v>
      </c>
      <c r="G6" s="3" t="s">
        <v>315</v>
      </c>
      <c r="H6" s="3" t="s">
        <v>316</v>
      </c>
      <c r="I6" s="3" t="s">
        <v>21</v>
      </c>
      <c r="J6" s="3" t="s">
        <v>292</v>
      </c>
      <c r="K6" s="6" t="s">
        <v>317</v>
      </c>
      <c r="L6" s="7" t="n">
        <v>46305</v>
      </c>
    </row>
    <row r="7" customFormat="false" ht="15" hidden="false" customHeight="true" outlineLevel="0" collapsed="false">
      <c r="A7" s="3" t="s">
        <v>245</v>
      </c>
      <c r="B7" s="3" t="s">
        <v>240</v>
      </c>
      <c r="C7" s="3" t="s">
        <v>318</v>
      </c>
      <c r="D7" s="3" t="s">
        <v>295</v>
      </c>
      <c r="E7" s="3" t="s">
        <v>319</v>
      </c>
      <c r="F7" s="3" t="s">
        <v>320</v>
      </c>
      <c r="G7" s="3" t="s">
        <v>321</v>
      </c>
      <c r="H7" s="3" t="s">
        <v>35</v>
      </c>
      <c r="I7" s="3" t="s">
        <v>35</v>
      </c>
      <c r="J7" s="3" t="s">
        <v>292</v>
      </c>
      <c r="K7" s="3" t="s">
        <v>322</v>
      </c>
      <c r="L7" s="7" t="n">
        <v>46305</v>
      </c>
    </row>
    <row r="8" customFormat="false" ht="15" hidden="false" customHeight="true" outlineLevel="0" collapsed="false">
      <c r="A8" s="3" t="s">
        <v>323</v>
      </c>
      <c r="B8" s="3" t="s">
        <v>258</v>
      </c>
      <c r="C8" s="3" t="s">
        <v>324</v>
      </c>
      <c r="D8" s="3" t="s">
        <v>312</v>
      </c>
      <c r="E8" s="3" t="s">
        <v>325</v>
      </c>
      <c r="F8" s="3" t="s">
        <v>326</v>
      </c>
      <c r="G8" s="3" t="s">
        <v>327</v>
      </c>
      <c r="H8" s="3" t="s">
        <v>21</v>
      </c>
      <c r="I8" s="3" t="s">
        <v>35</v>
      </c>
      <c r="J8" s="3" t="s">
        <v>292</v>
      </c>
      <c r="K8" s="6" t="s">
        <v>317</v>
      </c>
      <c r="L8" s="7" t="n">
        <v>46305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7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7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7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7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7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7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7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7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7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7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7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7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7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7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7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7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7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7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7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7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7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7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7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7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7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7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7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7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7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7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7"/>
    </row>
    <row r="40" customFormat="false" ht="15" hidden="false" customHeight="true" outlineLevel="0" collapsed="false"/>
  </sheetData>
  <dataValidations count="3">
    <dataValidation allowBlank="true" errorStyle="stop" operator="between" showDropDown="false" showErrorMessage="false" showInputMessage="false" sqref="H2:H40" type="list">
      <formula1>"Critical,High,Medium,Low"</formula1>
      <formula2>0</formula2>
    </dataValidation>
    <dataValidation allowBlank="true" errorStyle="stop" operator="between" showDropDown="false" showErrorMessage="false" showInputMessage="false" sqref="I2:I40" type="list">
      <formula1>"High,Medium,Low"</formula1>
      <formula2>0</formula2>
    </dataValidation>
    <dataValidation allowBlank="true" errorStyle="stop" operator="between" showDropDown="false" showErrorMessage="false" showInputMessage="false" sqref="J2:J40" type="list">
      <formula1>"Open,Fixed,Retest,Closed,Rejected"</formula1>
      <formula2>0</formula2>
    </dataValidation>
  </dataValidations>
  <hyperlinks>
    <hyperlink ref="K2" r:id="rId1" display="evidence/BUG_001_login_error_clipped.jpg"/>
    <hyperlink ref="K3" r:id="rId2" display="evidence/BUG_002_problem_user_same_images.jpg"/>
    <hyperlink ref="K4" r:id="rId3" display="evidence/BUG_003_problem_user_last_name.jpg"/>
    <hyperlink ref="K5" r:id="rId4" display="evidence/BUG_004_problem_user_cart_badge_3.jpg"/>
    <hyperlink ref="K6" r:id="rId5" display="evidence/BUG_005_007_error_user_overview_finish.jpg"/>
    <hyperlink ref="K8" r:id="rId6" display="evidence/BUG_005_007_error_user_overview_finish.jp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8" t="s">
        <v>328</v>
      </c>
    </row>
    <row r="2" customFormat="false" ht="15" hidden="false" customHeight="true" outlineLevel="0" collapsed="false">
      <c r="A2" s="9" t="s">
        <v>329</v>
      </c>
      <c r="B2" s="9" t="s">
        <v>330</v>
      </c>
    </row>
    <row r="3" customFormat="false" ht="15" hidden="false" customHeight="true" outlineLevel="0" collapsed="false">
      <c r="A3" s="10" t="s">
        <v>331</v>
      </c>
      <c r="B3" s="10" t="n">
        <f aca="false">COUNTA('Test Cases'!A2:A200)</f>
        <v>43</v>
      </c>
    </row>
    <row r="4" customFormat="false" ht="15" hidden="false" customHeight="true" outlineLevel="0" collapsed="false">
      <c r="A4" s="10" t="s">
        <v>332</v>
      </c>
      <c r="B4" s="10" t="n">
        <f aca="false">COUNTIF('Test Cases'!I2:I200,"Pass")</f>
        <v>37</v>
      </c>
    </row>
    <row r="5" customFormat="false" ht="15" hidden="false" customHeight="true" outlineLevel="0" collapsed="false">
      <c r="A5" s="10" t="s">
        <v>333</v>
      </c>
      <c r="B5" s="10" t="n">
        <f aca="false">COUNTIF('Test Cases'!I2:I200,"Fail")</f>
        <v>6</v>
      </c>
    </row>
    <row r="6" customFormat="false" ht="15" hidden="false" customHeight="true" outlineLevel="0" collapsed="false">
      <c r="A6" s="10" t="s">
        <v>334</v>
      </c>
      <c r="B6" s="10" t="n">
        <f aca="false">B4+B5</f>
        <v>43</v>
      </c>
    </row>
    <row r="7" customFormat="false" ht="15" hidden="false" customHeight="true" outlineLevel="0" collapsed="false">
      <c r="A7" s="10" t="s">
        <v>335</v>
      </c>
      <c r="B7" s="10" t="n">
        <f aca="false">B3-B6</f>
        <v>0</v>
      </c>
    </row>
    <row r="8" customFormat="false" ht="15" hidden="false" customHeight="true" outlineLevel="0" collapsed="false">
      <c r="A8" s="10" t="s">
        <v>336</v>
      </c>
      <c r="B8" s="11" t="n">
        <f aca="false">IF(B3=0,0,B6/B3)</f>
        <v>1</v>
      </c>
    </row>
    <row r="9" customFormat="false" ht="15" hidden="false" customHeight="true" outlineLevel="0" collapsed="false">
      <c r="A9" s="10" t="s">
        <v>337</v>
      </c>
      <c r="B9" s="11" t="n">
        <f aca="false">IF(B6=0,0,B4/B6)</f>
        <v>0.86046511627907</v>
      </c>
    </row>
    <row r="10" customFormat="false" ht="15" hidden="false" customHeight="true" outlineLevel="0" collapsed="false">
      <c r="A10" s="10" t="s">
        <v>338</v>
      </c>
      <c r="B10" s="10" t="n">
        <f aca="false">COUNTA('Bug Reports'!A2:A200)</f>
        <v>7</v>
      </c>
    </row>
    <row r="11" customFormat="false" ht="15" hidden="false" customHeight="true" outlineLevel="0" collapsed="false">
      <c r="A11" s="10" t="s">
        <v>339</v>
      </c>
      <c r="B11" s="10" t="n">
        <f aca="false">COUNTIF('Bug Reports'!H2:H200,"Critical")+COUNTIF('Bug Reports'!H2:H200,"High")</f>
        <v>4</v>
      </c>
    </row>
    <row r="13" customFormat="false" ht="15" hidden="false" customHeight="true" outlineLevel="0" collapsed="false">
      <c r="A13" s="12" t="s">
        <v>340</v>
      </c>
    </row>
    <row r="14" customFormat="false" ht="15" hidden="false" customHeight="true" outlineLevel="0" collapsed="false">
      <c r="A14" s="13" t="s">
        <v>341</v>
      </c>
    </row>
    <row r="15" customFormat="false" ht="15" hidden="false" customHeight="true" outlineLevel="0" collapsed="false">
      <c r="A15" s="13" t="s">
        <v>342</v>
      </c>
    </row>
    <row r="16" customFormat="false" ht="15" hidden="false" customHeight="true" outlineLevel="0" collapsed="false">
      <c r="A16" s="13" t="s">
        <v>343</v>
      </c>
    </row>
    <row r="17" customFormat="false" ht="15" hidden="false" customHeight="true" outlineLevel="0" collapsed="false">
      <c r="A17" s="13" t="s">
        <v>344</v>
      </c>
    </row>
    <row r="18" customFormat="false" ht="15" hidden="false" customHeight="true" outlineLevel="0" collapsed="false">
      <c r="A18" s="13" t="s">
        <v>345</v>
      </c>
    </row>
    <row r="19" customFormat="false" ht="15" hidden="false" customHeight="true" outlineLevel="0" collapsed="false">
      <c r="A19" s="13" t="s">
        <v>346</v>
      </c>
    </row>
    <row r="20" customFormat="false" ht="15" hidden="false" customHeight="true" outlineLevel="0" collapsed="false">
      <c r="A2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2026-10-10T12:08:20Z</dcterms:created>
  <dc:creator>openpyxl</dc:creator>
  <dc:description/>
  <dc:language>en-US</dc:language>
  <cp:lastModifiedBy/>
  <dcterms:modified xsi:type="dcterms:W3CDTF">2026-10-10T18:45:04Z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